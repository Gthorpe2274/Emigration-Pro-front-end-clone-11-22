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aac02bdfb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025efd877a4e6c"/>
    <x:sheet xmlns:r="http://schemas.openxmlformats.org/officeDocument/2006/relationships" name="Budget Planner" sheetId="2" r:id="Re67d0fa48c114a96"/>
    <x:sheet xmlns:r="http://schemas.openxmlformats.org/officeDocument/2006/relationships" name="Currency Scenarios" sheetId="3" r:id="R8c33a27d7de2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"/>
    <x:numFmt numFmtId="202" formatCode="0%"/>
    <x:numFmt numFmtId="203" formatCode="&quot;$&quot;#,##0"/>
    <x:numFmt numFmtId="204" formatCode="#,##0 &quot;local&quot;"/>
  </x:numFmts>
  <x:fonts count="2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558A"/>
      <x:name val="Carlito"/>
    </x:font>
    <x:font>
      <x:b/>
      <x:sz val="11"/>
      <x:color rgb="FFFFFFFF"/>
      <x:name val="Carlito"/>
    </x:font>
    <x:font>
      <x:b/>
      <x:sz val="11"/>
      <x:color rgb="FF203044"/>
      <x:name val="Carlito"/>
    </x:font>
    <x:font>
      <x:sz val="11"/>
      <x:color rgb="FF203044"/>
      <x:name val="Carlito"/>
    </x:font>
    <x:font>
      <x:b/>
      <x:sz val="13"/>
      <x:color rgb="FF173B6C"/>
      <x:name val="Carlito"/>
    </x:font>
    <x:font>
      <x:sz val="10"/>
      <x:color rgb="FF66758A"/>
      <x:name val="Carlito"/>
    </x:font>
    <x:font>
      <x:sz val="11"/>
      <x:name val="Aptos"/>
    </x:font>
    <x:font>
      <x:b/>
      <x:sz val="18"/>
      <x:color rgb="FFFFFFFF"/>
      <x:name val="Aptos"/>
    </x:font>
    <x:font>
      <x:i/>
      <x:sz val="10"/>
      <x:color rgb="FF24558A"/>
      <x:name val="Aptos"/>
    </x:font>
    <x:font>
      <x:b/>
      <x:sz val="11"/>
      <x:color rgb="FFFFFFFF"/>
      <x:name val="Aptos"/>
    </x:font>
    <x:font>
      <x:b/>
      <x:sz val="11"/>
      <x:color rgb="FF203044"/>
      <x:name val="Aptos"/>
    </x:font>
    <x:font>
      <x:sz val="11"/>
      <x:color rgb="FF203044"/>
      <x:name val="Aptos"/>
    </x:font>
    <x:font>
      <x:b/>
      <x:sz val="13"/>
      <x:color rgb="FF173B6C"/>
      <x:name val="Aptos"/>
    </x:font>
    <x:font>
      <x:sz val="10"/>
      <x:color rgb="FF66758A"/>
      <x:name val="Aptos"/>
    </x:font>
    <x:font>
      <x:i/>
      <x:sz val="11"/>
      <x:color rgb="FF66758A"/>
      <x:name val="Carlito"/>
    </x:font>
    <x:font>
      <x:sz val="11"/>
      <x:color rgb="FF173B6C"/>
      <x:name val="Carlito"/>
    </x:font>
    <x:font>
      <x:b/>
      <x:sz val="12"/>
      <x:color rgb="FF173B6C"/>
      <x:name val="Carlito"/>
    </x:font>
    <x:font>
      <x:b/>
      <x:sz val="11"/>
      <x:color rgb="FF173B6C"/>
      <x:name val="Carlito"/>
    </x:font>
    <x:font>
      <x:b/>
      <x:sz val="14"/>
      <x:color rgb="FFFFFFFF"/>
      <x:name val="Carlito"/>
    </x:font>
    <x:font>
      <x:i/>
      <x:sz val="11"/>
      <x:color rgb="FF66758A"/>
      <x:name val="Aptos"/>
    </x:font>
    <x:font>
      <x:sz val="11"/>
      <x:color rgb="FF173B6C"/>
      <x:name val="Aptos"/>
    </x:font>
    <x:font>
      <x:b/>
      <x:sz val="12"/>
      <x:color rgb="FF173B6C"/>
      <x:name val="Aptos"/>
    </x:font>
    <x:font>
      <x:b/>
      <x:sz val="11"/>
      <x:color rgb="FF173B6C"/>
      <x:name val="Aptos"/>
    </x:font>
    <x:font>
      <x:b/>
      <x:sz val="14"/>
      <x:color rgb="FFFFFFFF"/>
      <x:name val="Aptos"/>
    </x:font>
    <x:font>
      <x:sz val="11"/>
      <x:color rgb="FF66758A"/>
      <x:name val="Carlito"/>
    </x:font>
    <x:font>
      <x:sz val="11"/>
      <x:color rgb="FF66758A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6C"/>
      </x:patternFill>
    </x:fill>
    <x:fill>
      <x:patternFill patternType="solid">
        <x:fgColor rgb="FFEAF1F8"/>
      </x:patternFill>
    </x:fill>
    <x:fill>
      <x:patternFill patternType="solid">
        <x:fgColor rgb="FF62A744"/>
      </x:patternFill>
    </x:fill>
    <x:fill>
      <x:patternFill patternType="solid">
        <x:fgColor rgb="FFF7F9FC"/>
      </x:patternFill>
    </x:fill>
    <x:fill>
      <x:patternFill patternType="solid">
        <x:fgColor rgb="FFFFF7D6"/>
      </x:patternFill>
    </x:fill>
    <x:fill>
      <x:patternFill patternType="solid">
        <x:fgColor rgb="FF24558A"/>
      </x:patternFill>
    </x:fill>
    <x:fill>
      <x:patternFill patternType="solid">
        <x:fgColor rgb="FFEAF5E4"/>
      </x:patternFill>
    </x:fill>
  </x:fills>
  <x:borders count="17">
    <x:border/>
    <x:border>
      <x:left style="thin">
        <x:color rgb="FFD7B84B"/>
      </x:left>
      <x:right style="thin">
        <x:color rgb="FFD7B84B"/>
      </x:right>
      <x:top style="thin">
        <x:color rgb="FFD7B84B"/>
      </x:top>
    </x:border>
    <x:border>
      <x:left style="thin">
        <x:color rgb="FFD7B84B"/>
      </x:left>
      <x:right style="thin">
        <x:color rgb="FFD7B84B"/>
      </x:right>
    </x:border>
    <x:border>
      <x:left style="thin">
        <x:color rgb="FFD7B84B"/>
      </x:left>
      <x:right style="thin">
        <x:color rgb="FFD7B84B"/>
      </x:right>
      <x:bottom style="thin">
        <x:color rgb="FFD7B84B"/>
      </x:bottom>
    </x:border>
    <x:border>
      <x:bottom style="thin">
        <x:color rgb="FFD7E0EA"/>
      </x:bottom>
    </x:border>
    <x:border>
      <x:top style="thin">
        <x:color rgb="FFD7E0EA"/>
      </x:top>
      <x:bottom style="thin">
        <x:color rgb="FFD7E0EA"/>
      </x:bottom>
    </x:border>
    <x:border>
      <x:top style="thin">
        <x:color rgb="FFD7E0EA"/>
      </x:top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medium">
        <x:color rgb="FF62A744"/>
      </x:left>
      <x:top style="medium">
        <x:color rgb="FF62A744"/>
      </x:top>
      <x:bottom style="medium">
        <x:color rgb="FF62A744"/>
      </x:bottom>
    </x:border>
    <x:border>
      <x:top style="medium">
        <x:color rgb="FF62A744"/>
      </x:top>
      <x:bottom style="medium">
        <x:color rgb="FF62A744"/>
      </x:bottom>
    </x:border>
    <x:border>
      <x:left style="thin">
        <x:color rgb="FFD7E0EA"/>
      </x:left>
      <x:right style="thin">
        <x:color rgb="FFD7E0EA"/>
      </x:right>
      <x:top style="medium">
        <x:color rgb="FF62A744"/>
      </x:top>
      <x:bottom style="medium">
        <x:color rgb="FF62A744"/>
      </x:bottom>
    </x:border>
    <x:border>
      <x:left style="thin">
        <x:color rgb="FFD7E0EA"/>
      </x:left>
      <x:right style="medium">
        <x:color rgb="FF62A744"/>
      </x:right>
      <x:top style="medium">
        <x:color rgb="FF62A744"/>
      </x:top>
      <x:bottom style="medium">
        <x:color rgb="FF62A744"/>
      </x:bottom>
    </x:border>
    <x:border>
      <x:left style="thin">
        <x:color rgb="FFD7B84B"/>
      </x:left>
      <x:right style="thin">
        <x:color rgb="FFD7B84B"/>
      </x:right>
      <x:top style="thin">
        <x:color rgb="FFD7B84B"/>
      </x:top>
      <x:bottom style="thin">
        <x:color rgb="FFD7B84B"/>
      </x:bottom>
    </x:border>
    <x:border>
      <x:right style="medium">
        <x:color rgb="FF62A744"/>
      </x:right>
      <x:top style="medium">
        <x:color rgb="FF62A744"/>
      </x:top>
      <x:bottom style="medium">
        <x:color rgb="FF62A744"/>
      </x:bottom>
    </x:border>
    <x:border>
      <x:left style="medium">
        <x:color rgb="FF173B6C"/>
      </x:left>
      <x:top style="medium">
        <x:color rgb="FF173B6C"/>
      </x:top>
      <x:bottom style="medium">
        <x:color rgb="FF173B6C"/>
      </x:bottom>
    </x:border>
    <x:border>
      <x:top style="medium">
        <x:color rgb="FF173B6C"/>
      </x:top>
      <x:bottom style="medium">
        <x:color rgb="FF173B6C"/>
      </x:bottom>
    </x:border>
    <x:border>
      <x:right style="medium">
        <x:color rgb="FF173B6C"/>
      </x:right>
      <x:top style="medium">
        <x:color rgb="FF173B6C"/>
      </x:top>
      <x:bottom style="medium">
        <x:color rgb="FF173B6C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200" fontId="5" fillId="7" borderId="2" xfId="0" applyNumberFormat="1" applyFont="1" applyFill="1" applyBorder="1"/>
    <x:xf numFmtId="201" fontId="5" fillId="7" borderId="2" xfId="0" applyNumberFormat="1" applyFont="1" applyFill="1" applyBorder="1"/>
    <x:xf numFmtId="202" fontId="5" fillId="7" borderId="3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7" xfId="0" applyNumberFormat="1" applyFont="1" applyFill="1" applyBorder="1"/>
    <x:xf numFmtId="203" fontId="4" fillId="2" borderId="7" xfId="0" applyNumberFormat="1" applyFont="1" applyFill="1" applyBorder="1"/>
    <x:xf numFmtId="204" fontId="4" fillId="2" borderId="7" xfId="0" applyNumberFormat="1" applyFont="1" applyFill="1" applyBorder="1"/>
    <x:xf numFmtId="0" fontId="4" fillId="9" borderId="6" xfId="0" applyNumberFormat="1" applyFont="1" applyFill="1" applyBorder="1"/>
    <x:xf numFmtId="203" fontId="4" fillId="9" borderId="7" xfId="0" applyNumberFormat="1" applyFont="1" applyFill="1" applyBorder="1"/>
    <x:xf numFmtId="204" fontId="4" fillId="9" borderId="7" xfId="0" applyNumberFormat="1" applyFont="1" applyFill="1" applyBorder="1"/>
    <x:xf numFmtId="0" fontId="6" fillId="9" borderId="6" xfId="0" applyNumberFormat="1" applyFont="1" applyFill="1" applyBorder="1"/>
    <x:xf numFmtId="203" fontId="6" fillId="9" borderId="7" xfId="0" applyNumberFormat="1" applyFont="1" applyFill="1" applyBorder="1"/>
    <x:xf numFmtId="204" fontId="6" fillId="9" borderId="7" xfId="0" applyNumberFormat="1" applyFont="1" applyFill="1" applyBorder="1"/>
    <x:xf numFmtId="0" fontId="6" fillId="9" borderId="8" xfId="0" applyNumberFormat="1" applyFont="1" applyFill="1" applyBorder="1"/>
    <x:xf numFmtId="0" fontId="6" fillId="9" borderId="9" xfId="0" applyNumberFormat="1" applyFont="1" applyFill="1" applyBorder="1"/>
    <x:xf numFmtId="203" fontId="6" fillId="9" borderId="10" xfId="0" applyNumberFormat="1" applyFont="1" applyFill="1" applyBorder="1"/>
    <x:xf numFmtId="204" fontId="6" fillId="9" borderId="1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9" fillId="3" borderId="0" xfId="0" applyNumberFormat="1" applyFont="1" applyFill="1" applyBorder="1" applyAlignment="1">
      <x:alignment horizontal="left" vertical="center"/>
    </x:xf>
    <x:xf numFmtId="0" fontId="10" fillId="4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11" fillId="5" borderId="0" xfId="0" applyNumberFormat="1" applyFont="1" applyFill="1" applyBorder="1"/>
    <x:xf numFmtId="0" fontId="11" fillId="8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/>
    <x:xf numFmtId="0" fontId="13" fillId="7" borderId="1" xfId="0" applyNumberFormat="1" applyFont="1" applyFill="1" applyBorder="1"/>
    <x:xf numFmtId="0" fontId="12" fillId="6" borderId="4" xfId="0" applyNumberFormat="1" applyFont="1" applyFill="1" applyBorder="1"/>
    <x:xf numFmtId="203" fontId="12" fillId="2" borderId="7" xfId="0" applyNumberFormat="1" applyFont="1" applyFill="1" applyBorder="1"/>
    <x:xf numFmtId="204" fontId="12" fillId="2" borderId="7" xfId="0" applyNumberFormat="1" applyFont="1" applyFill="1" applyBorder="1"/>
    <x:xf numFmtId="0" fontId="13" fillId="7" borderId="2" xfId="0" applyNumberFormat="1" applyFont="1" applyFill="1" applyBorder="1"/>
    <x:xf numFmtId="0" fontId="12" fillId="6" borderId="5" xfId="0" applyNumberFormat="1" applyFont="1" applyFill="1" applyBorder="1"/>
    <x:xf numFmtId="200" fontId="13" fillId="7" borderId="2" xfId="0" applyNumberFormat="1" applyFont="1" applyFill="1" applyBorder="1"/>
    <x:xf numFmtId="201" fontId="13" fillId="7" borderId="2" xfId="0" applyNumberFormat="1" applyFont="1" applyFill="1" applyBorder="1"/>
    <x:xf numFmtId="0" fontId="14" fillId="9" borderId="8" xfId="0" applyNumberFormat="1" applyFont="1" applyFill="1" applyBorder="1"/>
    <x:xf numFmtId="0" fontId="14" fillId="9" borderId="9" xfId="0" applyNumberFormat="1" applyFont="1" applyFill="1" applyBorder="1"/>
    <x:xf numFmtId="203" fontId="14" fillId="9" borderId="10" xfId="0" applyNumberFormat="1" applyFont="1" applyFill="1" applyBorder="1"/>
    <x:xf numFmtId="204" fontId="14" fillId="9" borderId="11" xfId="0" applyNumberFormat="1" applyFont="1" applyFill="1" applyBorder="1"/>
    <x:xf numFmtId="202" fontId="13" fillId="7" borderId="3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7" borderId="12" xfId="0" applyNumberFormat="1" applyFont="1" applyFill="1" applyBorder="1"/>
    <x:xf numFmtId="203" fontId="5" fillId="7" borderId="12" xfId="0" applyNumberFormat="1" applyFont="1" applyFill="1" applyBorder="1"/>
    <x:xf numFmtId="0" fontId="16" fillId="2" borderId="0" xfId="0" applyNumberFormat="1" applyFont="1" applyFill="1" applyBorder="1"/>
    <x:xf numFmtId="0" fontId="17" fillId="4" borderId="0" xfId="0" applyNumberFormat="1" applyFont="1" applyFill="1" applyBorder="1"/>
    <x:xf numFmtId="203" fontId="17" fillId="4" borderId="0" xfId="0" applyNumberFormat="1" applyFont="1" applyFill="1" applyBorder="1"/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8" fillId="9" borderId="8" xfId="0" applyNumberFormat="1" applyFont="1" applyFill="1" applyBorder="1"/>
    <x:xf numFmtId="0" fontId="18" fillId="9" borderId="9" xfId="0" applyNumberFormat="1" applyFont="1" applyFill="1" applyBorder="1"/>
    <x:xf numFmtId="0" fontId="18" fillId="9" borderId="13" xfId="0" applyNumberFormat="1" applyFont="1" applyFill="1" applyBorder="1"/>
    <x:xf numFmtId="203" fontId="18" fillId="9" borderId="8" xfId="0" applyNumberFormat="1" applyFont="1" applyFill="1" applyBorder="1"/>
    <x:xf numFmtId="203" fontId="18" fillId="9" borderId="9" xfId="0" applyNumberFormat="1" applyFont="1" applyFill="1" applyBorder="1"/>
    <x:xf numFmtId="203" fontId="18" fillId="9" borderId="13" xfId="0" applyNumberFormat="1" applyFont="1" applyFill="1" applyBorder="1"/>
    <x:xf numFmtId="0" fontId="19" fillId="4" borderId="0" xfId="0" applyNumberFormat="1" applyFont="1" applyFill="1" applyBorder="1"/>
    <x:xf numFmtId="203" fontId="19" fillId="4" borderId="0" xfId="0" applyNumberFormat="1" applyFont="1" applyFill="1" applyBorder="1"/>
    <x:xf numFmtId="0" fontId="16" fillId="0" borderId="0" xfId="0" applyNumberFormat="1" applyFont="1" applyFill="1" applyBorder="1"/>
    <x:xf numFmtId="203" fontId="16" fillId="0" borderId="0" xfId="0" applyNumberFormat="1" applyFont="1" applyFill="1" applyBorder="1"/>
    <x:xf numFmtId="0" fontId="0" fillId="7" borderId="12" xfId="0" applyNumberFormat="1" applyFont="1" applyFill="1" applyBorder="1"/>
    <x:xf numFmtId="203" fontId="0" fillId="7" borderId="12" xfId="0" applyNumberFormat="1" applyFont="1" applyFill="1" applyBorder="1"/>
    <x:xf numFmtId="203" fontId="0" fillId="4" borderId="0" xfId="0" applyNumberFormat="1" applyFont="1" applyFill="1" applyBorder="1"/>
    <x:xf numFmtId="0" fontId="20" fillId="5" borderId="0" xfId="0" applyNumberFormat="1" applyFont="1" applyFill="1" applyBorder="1"/>
    <x:xf numFmtId="0" fontId="20" fillId="5" borderId="14" xfId="0" applyNumberFormat="1" applyFont="1" applyFill="1" applyBorder="1"/>
    <x:xf numFmtId="0" fontId="20" fillId="5" borderId="15" xfId="0" applyNumberFormat="1" applyFont="1" applyFill="1" applyBorder="1"/>
    <x:xf numFmtId="0" fontId="20" fillId="5" borderId="16" xfId="0" applyNumberFormat="1" applyFont="1" applyFill="1" applyBorder="1"/>
    <x:xf numFmtId="203" fontId="20" fillId="5" borderId="14" xfId="0" applyNumberFormat="1" applyFont="1" applyFill="1" applyBorder="1"/>
    <x:xf numFmtId="203" fontId="20" fillId="5" borderId="15" xfId="0" applyNumberFormat="1" applyFont="1" applyFill="1" applyBorder="1"/>
    <x:xf numFmtId="203" fontId="20" fillId="5" borderId="16" xfId="0" applyNumberFormat="1" applyFont="1" applyFill="1" applyBorder="1"/>
    <x:xf numFmtId="0" fontId="11" fillId="8" borderId="0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/>
    <x:xf numFmtId="203" fontId="13" fillId="7" borderId="12" xfId="0" applyNumberFormat="1" applyFont="1" applyFill="1" applyBorder="1"/>
    <x:xf numFmtId="0" fontId="21" fillId="2" borderId="0" xfId="0" applyNumberFormat="1" applyFont="1" applyFill="1" applyBorder="1"/>
    <x:xf numFmtId="203" fontId="22" fillId="4" borderId="0" xfId="0" applyNumberFormat="1" applyFont="1" applyFill="1" applyBorder="1"/>
    <x:xf numFmtId="203" fontId="23" fillId="9" borderId="8" xfId="0" applyNumberFormat="1" applyFont="1" applyFill="1" applyBorder="1"/>
    <x:xf numFmtId="203" fontId="23" fillId="9" borderId="9" xfId="0" applyNumberFormat="1" applyFont="1" applyFill="1" applyBorder="1"/>
    <x:xf numFmtId="203" fontId="23" fillId="9" borderId="13" xfId="0" applyNumberFormat="1" applyFont="1" applyFill="1" applyBorder="1"/>
    <x:xf numFmtId="203" fontId="24" fillId="4" borderId="0" xfId="0" applyNumberFormat="1" applyFont="1" applyFill="1" applyBorder="1"/>
    <x:xf numFmtId="203" fontId="21" fillId="0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er"/>
    </x:xf>
    <x:xf numFmtId="203" fontId="8" fillId="7" borderId="12" xfId="0" applyNumberFormat="1" applyFont="1" applyFill="1" applyBorder="1"/>
    <x:xf numFmtId="0" fontId="21" fillId="0" borderId="0" xfId="0" applyNumberFormat="1" applyFont="1" applyFill="1" applyBorder="1"/>
    <x:xf numFmtId="203" fontId="8" fillId="4" borderId="0" xfId="0" applyNumberFormat="1" applyFont="1" applyFill="1" applyBorder="1"/>
    <x:xf numFmtId="203" fontId="25" fillId="5" borderId="14" xfId="0" applyNumberFormat="1" applyFont="1" applyFill="1" applyBorder="1"/>
    <x:xf numFmtId="203" fontId="25" fillId="5" borderId="15" xfId="0" applyNumberFormat="1" applyFont="1" applyFill="1" applyBorder="1"/>
    <x:xf numFmtId="203" fontId="25" fillId="5" borderId="16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202" fontId="5" fillId="2" borderId="0" xfId="0" applyNumberFormat="1" applyFont="1" applyFill="1" applyBorder="1" applyAlignment="1">
      <x:alignment horizontal="center"/>
    </x:xf>
    <x:xf numFmtId="200" fontId="5" fillId="2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/>
    <x:xf numFmtId="202" fontId="5" fillId="9" borderId="0" xfId="0" applyNumberFormat="1" applyFont="1" applyFill="1" applyBorder="1" applyAlignment="1">
      <x:alignment horizontal="center"/>
    </x:xf>
    <x:xf numFmtId="200" fontId="5" fillId="9" borderId="0" xfId="0" applyNumberFormat="1" applyFont="1" applyFill="1" applyBorder="1" applyAlignment="1">
      <x:alignment horizontal="center"/>
    </x:xf>
    <x:xf numFmtId="203" fontId="19" fillId="9" borderId="0" xfId="0" applyNumberFormat="1" applyFont="1" applyFill="1" applyBorder="1"/>
    <x:xf numFmtId="0" fontId="19" fillId="9" borderId="0" xfId="0" applyNumberFormat="1" applyFont="1" applyFill="1" applyBorder="1"/>
    <x:xf numFmtId="202" fontId="19" fillId="9" borderId="0" xfId="0" applyNumberFormat="1" applyFont="1" applyFill="1" applyBorder="1" applyAlignment="1">
      <x:alignment horizontal="center"/>
    </x:xf>
    <x:xf numFmtId="200" fontId="19" fillId="9" borderId="0" xfId="0" applyNumberFormat="1" applyFont="1" applyFill="1" applyBorder="1" applyAlignment="1">
      <x:alignment horizontal="center"/>
    </x:xf>
    <x:xf numFmtId="0" fontId="19" fillId="9" borderId="8" xfId="0" applyNumberFormat="1" applyFont="1" applyFill="1" applyBorder="1"/>
    <x:xf numFmtId="202" fontId="19" fillId="9" borderId="9" xfId="0" applyNumberFormat="1" applyFont="1" applyFill="1" applyBorder="1" applyAlignment="1">
      <x:alignment horizontal="center"/>
    </x:xf>
    <x:xf numFmtId="200" fontId="19" fillId="9" borderId="9" xfId="0" applyNumberFormat="1" applyFont="1" applyFill="1" applyBorder="1" applyAlignment="1">
      <x:alignment horizontal="center"/>
    </x:xf>
    <x:xf numFmtId="203" fontId="19" fillId="9" borderId="9" xfId="0" applyNumberFormat="1" applyFont="1" applyFill="1" applyBorder="1"/>
    <x:xf numFmtId="203" fontId="19" fillId="9" borderId="13" xfId="0" applyNumberFormat="1" applyFont="1" applyFill="1" applyBorder="1"/>
    <x:xf numFmtId="0" fontId="26" fillId="2" borderId="0" xfId="0" applyNumberFormat="1" applyFont="1" applyFill="1" applyBorder="1"/>
    <x:xf numFmtId="0" fontId="26" fillId="2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center" wrapText="1"/>
    </x:xf>
    <x:xf numFmtId="202" fontId="13" fillId="2" borderId="0" xfId="0" applyNumberFormat="1" applyFont="1" applyFill="1" applyBorder="1" applyAlignment="1">
      <x:alignment horizontal="center"/>
    </x:xf>
    <x:xf numFmtId="200" fontId="13" fillId="2" borderId="0" xfId="0" applyNumberFormat="1" applyFont="1" applyFill="1" applyBorder="1" applyAlignment="1">
      <x:alignment horizontal="center"/>
    </x:xf>
    <x:xf numFmtId="0" fontId="24" fillId="9" borderId="8" xfId="0" applyNumberFormat="1" applyFont="1" applyFill="1" applyBorder="1"/>
    <x:xf numFmtId="202" fontId="24" fillId="9" borderId="9" xfId="0" applyNumberFormat="1" applyFont="1" applyFill="1" applyBorder="1" applyAlignment="1">
      <x:alignment horizontal="center"/>
    </x:xf>
    <x:xf numFmtId="200" fontId="24" fillId="9" borderId="9" xfId="0" applyNumberFormat="1" applyFont="1" applyFill="1" applyBorder="1" applyAlignment="1">
      <x:alignment horizontal="center"/>
    </x:xf>
    <x:xf numFmtId="203" fontId="24" fillId="9" borderId="9" xfId="0" applyNumberFormat="1" applyFont="1" applyFill="1" applyBorder="1"/>
    <x:xf numFmtId="203" fontId="24" fillId="9" borderId="13" xfId="0" applyNumberFormat="1" applyFont="1" applyFill="1" applyBorder="1"/>
    <x:xf numFmtId="0" fontId="27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3ce9b50ba4540" /><Relationship Type="http://schemas.openxmlformats.org/officeDocument/2006/relationships/theme" Target="/xl/theme/theme1.xml" Id="R79cbdca71f274e8b" /><Relationship Type="http://schemas.openxmlformats.org/officeDocument/2006/relationships/sharedStrings" Target="/xl/sharedStrings.xml" Id="R70c55c75522147a3" /><Relationship Type="http://schemas.openxmlformats.org/officeDocument/2006/relationships/worksheet" Target="/xl/worksheets/sheet1.xml" Id="R88025efd877a4e6c" /><Relationship Type="http://schemas.openxmlformats.org/officeDocument/2006/relationships/worksheet" Target="/xl/worksheets/sheet2.xml" Id="Re67d0fa48c114a96" /><Relationship Type="http://schemas.openxmlformats.org/officeDocument/2006/relationships/worksheet" Target="/xl/worksheets/sheet3.xml" Id="R8c33a27d7de247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91192742bad435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254aec746724bb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d03add5cfdf47d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857500" cy="685800"/>
    <xdr:pic>
      <xdr:nvPicPr>
        <xdr:cNvPr id="1" name="1aa8437b-6e3f-4967-aa73-5526e5749c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1192742bad43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857500" cy="685800"/>
    <xdr:pic>
      <xdr:nvPicPr>
        <xdr:cNvPr id="1" name="6ea5de6c-6d3d-4215-b362-1e8c8a903b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54aec746724b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857500" cy="685800"/>
    <xdr:pic>
      <xdr:nvPicPr>
        <xdr:cNvPr id="1" name="2f76a26b-4267-4720-881c-9d964239c5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03add5cfdf47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8c6f33a61549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69a7dcfe1b241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087ec5615df48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</x:cols>
  <x:sheetData>
    <x:row r="1">
      <x:c r="A1" s="44"/>
      <x:c r="B1" s="44"/>
      <x:c r="C1" s="44"/>
      <x:c r="D1" s="44"/>
      <x:c r="E1" s="44"/>
      <x:c r="F1" s="44"/>
      <x:c r="G1" s="44"/>
      <x:c r="H1" s="44"/>
    </x:row>
    <x:row r="2">
      <x:c r="A2" s="44"/>
      <x:c r="B2" s="44"/>
      <x:c r="C2" s="44"/>
      <x:c r="D2" s="44"/>
      <x:c r="E2" s="44"/>
      <x:c r="F2" s="44"/>
      <x:c r="G2" s="44"/>
      <x:c r="H2" s="44"/>
    </x:row>
    <x:row r="3">
      <x:c r="A3" s="44"/>
      <x:c r="B3" s="44"/>
      <x:c r="C3" s="44"/>
      <x:c r="D3" s="44"/>
      <x:c r="E3" s="44"/>
      <x:c r="F3" s="44"/>
      <x:c r="G3" s="44"/>
      <x:c r="H3" s="44"/>
    </x:row>
    <x:row r="4">
      <x:c r="A4" s="44"/>
      <x:c r="B4" s="44"/>
      <x:c r="C4" s="44"/>
      <x:c r="D4" s="44"/>
      <x:c r="E4" s="44"/>
      <x:c r="F4" s="44"/>
      <x:c r="G4" s="44"/>
      <x:c r="H4" s="44"/>
    </x:row>
    <x:row r="5" ht="32" customHeight="1">
      <x:c r="A5" s="45" t="str">
        <x:v>PERSONAL RELOCATION BUDGET CALCULATOR</x:v>
      </x:c>
      <x:c r="B5" s="45"/>
      <x:c r="C5" s="45"/>
      <x:c r="D5" s="45"/>
      <x:c r="E5" s="45"/>
      <x:c r="F5" s="45"/>
      <x:c r="G5" s="45"/>
      <x:c r="H5" s="45"/>
    </x:row>
    <x:row r="6" ht="24" customHeight="1">
      <x:c r="A6" s="46" t="str">
        <x:v>Enter your assumptions in the yellow cells. All totals update automatically.</x:v>
      </x:c>
      <x:c r="B6" s="46"/>
      <x:c r="C6" s="46"/>
      <x:c r="D6" s="46"/>
      <x:c r="E6" s="46"/>
      <x:c r="F6" s="46"/>
      <x:c r="G6" s="46"/>
      <x:c r="H6" s="46"/>
    </x:row>
    <x:row r="7">
      <x:c r="A7" s="47"/>
      <x:c r="B7" s="47"/>
      <x:c r="C7" s="47"/>
      <x:c r="D7" s="47"/>
      <x:c r="E7" s="47"/>
      <x:c r="F7" s="47"/>
      <x:c r="G7" s="47"/>
      <x:c r="H7" s="47"/>
    </x:row>
    <x:row r="8" ht="24" customHeight="1">
      <x:c r="A8" s="48" t="str">
        <x:v>YOUR RELOCATION PLAN</x:v>
      </x:c>
      <x:c r="B8" s="48"/>
      <x:c r="C8" s="47"/>
      <x:c r="D8" s="49" t="str">
        <x:v>RELOCATION FUNDING SNAPSHOT</x:v>
      </x:c>
      <x:c r="E8" s="49"/>
      <x:c r="F8" s="49"/>
      <x:c r="G8" s="49"/>
      <x:c r="H8" s="49"/>
    </x:row>
    <x:row r="9">
      <x:c r="A9" s="50" t="str">
        <x:v>Destination country</x:v>
      </x:c>
      <x:c r="B9" s="51" t="str">
        <x:v>Portugal</x:v>
      </x:c>
      <x:c r="C9" s="47"/>
      <x:c r="D9" s="52" t="str">
        <x:v>Monthly living costs</x:v>
      </x:c>
      <x:c r="E9" s="52"/>
      <x:c r="F9" s="52"/>
      <x:c r="G9" s="53" t="n">
        <x:f>'Budget Planner'!$E$25</x:f>
        <x:v>3480</x:v>
      </x:c>
      <x:c r="H9" s="54" t="n">
        <x:f>G9*$B$11</x:f>
        <x:v>3201.6000000000004</x:v>
      </x:c>
    </x:row>
    <x:row r="10">
      <x:c r="A10" s="50" t="str">
        <x:v>Local currency</x:v>
      </x:c>
      <x:c r="B10" s="55" t="str">
        <x:v>EUR</x:v>
      </x:c>
      <x:c r="C10" s="47"/>
      <x:c r="D10" s="56" t="str">
        <x:v>One-time move costs</x:v>
      </x:c>
      <x:c r="E10" s="56"/>
      <x:c r="F10" s="56"/>
      <x:c r="G10" s="53" t="n">
        <x:f>'Budget Planner'!$E$39</x:f>
        <x:v>13100</x:v>
      </x:c>
      <x:c r="H10" s="54" t="n">
        <x:f>G10*$B$11</x:f>
        <x:v>12052</x:v>
      </x:c>
    </x:row>
    <x:row r="11">
      <x:c r="A11" s="50" t="str">
        <x:v>Exchange rate (local per USD)</x:v>
      </x:c>
      <x:c r="B11" s="57" t="n">
        <x:v>0.92</x:v>
      </x:c>
      <x:c r="C11" s="47"/>
      <x:c r="D11" s="56" t="str">
        <x:v>Emergency reserve</x:v>
      </x:c>
      <x:c r="E11" s="56"/>
      <x:c r="F11" s="56"/>
      <x:c r="G11" s="53" t="n">
        <x:f>'Budget Planner'!$E$42</x:f>
        <x:v>20880</x:v>
      </x:c>
      <x:c r="H11" s="54" t="n">
        <x:f>G11*$B$11</x:f>
        <x:v>19209.600000000002</x:v>
      </x:c>
    </x:row>
    <x:row r="12">
      <x:c r="A12" s="50" t="str">
        <x:v>Months until move</x:v>
      </x:c>
      <x:c r="B12" s="58" t="n">
        <x:v>12</x:v>
      </x:c>
      <x:c r="C12" s="47"/>
      <x:c r="D12" s="56" t="str">
        <x:v>Contingency allowance</x:v>
      </x:c>
      <x:c r="E12" s="56"/>
      <x:c r="F12" s="56"/>
      <x:c r="G12" s="53" t="n">
        <x:f>'Budget Planner'!$E$43</x:f>
        <x:v>3398</x:v>
      </x:c>
      <x:c r="H12" s="54" t="n">
        <x:f>G12*$B$11</x:f>
        <x:v>3126.1600000000003</x:v>
      </x:c>
    </x:row>
    <x:row r="13">
      <x:c r="A13" s="50" t="str">
        <x:v>Months of emergency reserve</x:v>
      </x:c>
      <x:c r="B13" s="58" t="n">
        <x:v>6</x:v>
      </x:c>
      <x:c r="C13" s="47"/>
      <x:c r="D13" s="59" t="str">
        <x:v>Recommended pre-move savings</x:v>
      </x:c>
      <x:c r="E13" s="60"/>
      <x:c r="F13" s="60"/>
      <x:c r="G13" s="61" t="n">
        <x:f>'Budget Planner'!$E$44</x:f>
        <x:v>37378</x:v>
      </x:c>
      <x:c r="H13" s="62" t="n">
        <x:f>G13*$B$11</x:f>
        <x:v>34387.76</x:v>
      </x:c>
    </x:row>
    <x:row r="14">
      <x:c r="A14" s="50" t="str">
        <x:v>Contingency rate</x:v>
      </x:c>
      <x:c r="B14" s="63" t="n">
        <x:v>0.1</x:v>
      </x:c>
      <x:c r="C14" s="47"/>
      <x:c r="D14" s="47"/>
      <x:c r="E14" s="47"/>
      <x:c r="F14" s="47"/>
      <x:c r="G14" s="47"/>
      <x:c r="H14" s="47"/>
    </x:row>
    <x:row r="15">
      <x:c r="A15" s="47"/>
      <x:c r="B15" s="47"/>
      <x:c r="C15" s="47"/>
      <x:c r="D15" s="47"/>
      <x:c r="E15" s="47"/>
      <x:c r="F15" s="47"/>
      <x:c r="G15" s="47"/>
      <x:c r="H15" s="47"/>
    </x:row>
    <x:row r="16">
      <x:c r="A16" s="47"/>
      <x:c r="B16" s="47"/>
      <x:c r="C16" s="47"/>
      <x:c r="D16" s="47"/>
      <x:c r="E16" s="47"/>
      <x:c r="F16" s="47"/>
      <x:c r="G16" s="47"/>
      <x:c r="H16" s="47"/>
    </x:row>
    <x:row r="17" ht="24" customHeight="1">
      <x:c r="A17" s="49" t="str">
        <x:v>HOW TO USE THIS CALCULATOR</x:v>
      </x:c>
      <x:c r="B17" s="49"/>
      <x:c r="C17" s="49"/>
      <x:c r="D17" s="49"/>
      <x:c r="E17" s="49"/>
      <x:c r="F17" s="49"/>
      <x:c r="G17" s="49"/>
      <x:c r="H17" s="49"/>
    </x:row>
    <x:row r="18" ht="23" customHeight="1">
      <x:c r="A18" s="64" t="str">
        <x:v>1. Complete the yellow planning assumptions above.</x:v>
      </x:c>
      <x:c r="B18" s="64"/>
      <x:c r="C18" s="64"/>
      <x:c r="D18" s="64"/>
      <x:c r="E18" s="64"/>
      <x:c r="F18" s="64"/>
      <x:c r="G18" s="64"/>
      <x:c r="H18" s="64"/>
    </x:row>
    <x:row r="19" ht="23" customHeight="1">
      <x:c r="A19" s="64" t="str">
        <x:v>2. Enter monthly and one-time expenses on the Budget Planner sheet.</x:v>
      </x:c>
      <x:c r="B19" s="64"/>
      <x:c r="C19" s="64"/>
      <x:c r="D19" s="64"/>
      <x:c r="E19" s="64"/>
      <x:c r="F19" s="64"/>
      <x:c r="G19" s="64"/>
      <x:c r="H19" s="64"/>
    </x:row>
    <x:row r="20" ht="23" customHeight="1">
      <x:c r="A20" s="64" t="str">
        <x:v>3. Review exchange-rate stress tests on Currency Scenarios.</x:v>
      </x:c>
      <x:c r="B20" s="64"/>
      <x:c r="C20" s="64"/>
      <x:c r="D20" s="64"/>
      <x:c r="E20" s="64"/>
      <x:c r="F20" s="64"/>
      <x:c r="G20" s="64"/>
      <x:c r="H20" s="64"/>
    </x:row>
    <x:row r="21" ht="23" customHeight="1">
      <x:c r="A21" s="64" t="str">
        <x:v>4. Aim to fund the recommended savings total before departure.</x:v>
      </x:c>
      <x:c r="B21" s="64"/>
      <x:c r="C21" s="64"/>
      <x:c r="D21" s="64"/>
      <x:c r="E21" s="64"/>
      <x:c r="F21" s="64"/>
      <x:c r="G21" s="64"/>
      <x:c r="H21" s="64"/>
    </x:row>
    <x:row r="22" ht="23" customHeight="1">
      <x:c r="A22" s="64" t="str">
        <x:v>Tip: Use conservative estimates and confirm current visa, insurance, tax and travel costs with qualified sources.</x:v>
      </x:c>
      <x:c r="B22" s="64"/>
      <x:c r="C22" s="64"/>
      <x:c r="D22" s="64"/>
      <x:c r="E22" s="64"/>
      <x:c r="F22" s="64"/>
      <x:c r="G22" s="64"/>
      <x:c r="H22" s="64"/>
    </x:row>
  </x:sheetData>
  <x:mergeCells>
    <x:mergeCell ref="A5:H5"/>
    <x:mergeCell ref="A6:H6"/>
    <x:mergeCell ref="A8:B8"/>
    <x:mergeCell ref="D8:H8"/>
    <x:mergeCell ref="D9:F9"/>
    <x:mergeCell ref="D10:F10"/>
    <x:mergeCell ref="D11:F11"/>
    <x:mergeCell ref="D12:F12"/>
    <x:mergeCell ref="D13:F13"/>
    <x:mergeCell ref="A17:H17"/>
    <x:mergeCell ref="A18:H18"/>
    <x:mergeCell ref="A19:H19"/>
    <x:mergeCell ref="A20:H20"/>
    <x:mergeCell ref="A21:H21"/>
    <x:mergeCell ref="A22:H22"/>
  </x:mergeCells>
  <x:dataValidations count="1">
    <x:dataValidation type="decimal" operator="greaterThan" sqref="B11:B14">
      <x:formula1>0</x:formula1>
    </x:dataValidation>
  </x:dataValidations>
  <x:pageMargins left="0.7" right="0.7" top="0.75" bottom="0.75" header="0.3" footer="0.3"/>
  <x:drawing xmlns:r="http://schemas.openxmlformats.org/officeDocument/2006/relationships" r:id="R0e8c6f33a615491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24" hidden="0" customWidth="1"/>
    <x:col min="5" max="5" width="19" hidden="0" customWidth="1"/>
  </x:cols>
  <x:sheetData>
    <x:row r="1">
      <x:c r="A1" s="44"/>
      <x:c r="B1" s="44"/>
      <x:c r="C1" s="44"/>
      <x:c r="D1" s="44"/>
      <x:c r="E1" s="44"/>
      <x:c r="F1" s="1"/>
      <x:c r="G1" s="1"/>
      <x:c r="H1" s="1"/>
    </x:row>
    <x:row r="2">
      <x:c r="A2" s="44"/>
      <x:c r="B2" s="44"/>
      <x:c r="C2" s="44"/>
      <x:c r="D2" s="44"/>
      <x:c r="E2" s="44"/>
      <x:c r="F2" s="1"/>
      <x:c r="G2" s="1"/>
      <x:c r="H2" s="1"/>
    </x:row>
    <x:row r="3">
      <x:c r="A3" s="44"/>
      <x:c r="B3" s="44"/>
      <x:c r="C3" s="44"/>
      <x:c r="D3" s="44"/>
      <x:c r="E3" s="44"/>
      <x:c r="F3" s="1"/>
      <x:c r="G3" s="1"/>
      <x:c r="H3" s="1"/>
    </x:row>
    <x:row r="4">
      <x:c r="A4" s="44"/>
      <x:c r="B4" s="44"/>
      <x:c r="C4" s="44"/>
      <x:c r="D4" s="44"/>
      <x:c r="E4" s="44"/>
      <x:c r="F4" s="1"/>
      <x:c r="G4" s="1"/>
      <x:c r="H4" s="1"/>
    </x:row>
    <x:row r="5" ht="32" customHeight="1">
      <x:c r="A5" s="45" t="str">
        <x:v>PERSONAL RELOCATION BUDGET CALCULATOR</x:v>
      </x:c>
      <x:c r="B5" s="45"/>
      <x:c r="C5" s="45"/>
      <x:c r="D5" s="45"/>
      <x:c r="E5" s="45"/>
      <x:c r="F5" s="5"/>
      <x:c r="G5" s="5"/>
      <x:c r="H5" s="5"/>
    </x:row>
    <x:row r="6" ht="24" customHeight="1">
      <x:c r="A6" s="46" t="str">
        <x:v>Build your monthly lifestyle budget and one-time relocation fund in USD.</x:v>
      </x:c>
      <x:c r="B6" s="46"/>
      <x:c r="C6" s="46"/>
      <x:c r="D6" s="46"/>
      <x:c r="E6" s="46"/>
      <x:c r="F6" s="9"/>
      <x:c r="G6" s="9"/>
      <x:c r="H6" s="9"/>
    </x:row>
    <x:row r="7">
      <x:c r="A7" s="47"/>
      <x:c r="B7" s="47"/>
      <x:c r="C7" s="47"/>
      <x:c r="D7" s="47"/>
      <x:c r="E7" s="47"/>
    </x:row>
    <x:row r="8" ht="28" customHeight="1">
      <x:c r="A8" s="95" t="str">
        <x:v>CATEGORY</x:v>
      </x:c>
      <x:c r="B8" s="95" t="str">
        <x:v>EXPENSE ITEM</x:v>
      </x:c>
      <x:c r="C8" s="95" t="str">
        <x:v>YOUR ESTIMATE</x:v>
      </x:c>
      <x:c r="D8" s="95" t="str">
        <x:v>FREQUENCY / NOTES</x:v>
      </x:c>
      <x:c r="E8" s="95" t="str">
        <x:v>ANNUAL OR TOTAL</x:v>
      </x:c>
    </x:row>
    <x:row r="9">
      <x:c r="A9" s="96" t="str">
        <x:v>Housing</x:v>
      </x:c>
      <x:c r="B9" s="96" t="str">
        <x:v>Rent or mortgage</x:v>
      </x:c>
      <x:c r="C9" s="97" t="n">
        <x:v>1500</x:v>
      </x:c>
      <x:c r="D9" s="98" t="str">
        <x:v>Monthly</x:v>
      </x:c>
      <x:c r="E9" s="99" t="n">
        <x:f>C9*12</x:f>
        <x:v>18000</x:v>
      </x:c>
    </x:row>
    <x:row r="10">
      <x:c r="A10" s="96" t="str">
        <x:v>Housing</x:v>
      </x:c>
      <x:c r="B10" s="96" t="str">
        <x:v>Utilities</x:v>
      </x:c>
      <x:c r="C10" s="97" t="n">
        <x:v>180</x:v>
      </x:c>
      <x:c r="D10" s="98" t="str">
        <x:v>Monthly</x:v>
      </x:c>
      <x:c r="E10" s="99" t="n">
        <x:f>C10*12</x:f>
        <x:v>2160</x:v>
      </x:c>
    </x:row>
    <x:row r="11">
      <x:c r="A11" s="96" t="str">
        <x:v>Housing</x:v>
      </x:c>
      <x:c r="B11" s="96" t="str">
        <x:v>Internet and mobile</x:v>
      </x:c>
      <x:c r="C11" s="97" t="n">
        <x:v>90</x:v>
      </x:c>
      <x:c r="D11" s="98" t="str">
        <x:v>Monthly</x:v>
      </x:c>
      <x:c r="E11" s="99" t="n">
        <x:f>C11*12</x:f>
        <x:v>1080</x:v>
      </x:c>
    </x:row>
    <x:row r="12">
      <x:c r="A12" s="96" t="str">
        <x:v>Food</x:v>
      </x:c>
      <x:c r="B12" s="96" t="str">
        <x:v>Groceries</x:v>
      </x:c>
      <x:c r="C12" s="97" t="n">
        <x:v>500</x:v>
      </x:c>
      <x:c r="D12" s="98" t="str">
        <x:v>Monthly</x:v>
      </x:c>
      <x:c r="E12" s="99" t="n">
        <x:f>C12*12</x:f>
        <x:v>6000</x:v>
      </x:c>
    </x:row>
    <x:row r="13">
      <x:c r="A13" s="96" t="str">
        <x:v>Food</x:v>
      </x:c>
      <x:c r="B13" s="96" t="str">
        <x:v>Dining and entertainment</x:v>
      </x:c>
      <x:c r="C13" s="97" t="n">
        <x:v>250</x:v>
      </x:c>
      <x:c r="D13" s="98" t="str">
        <x:v>Monthly</x:v>
      </x:c>
      <x:c r="E13" s="99" t="n">
        <x:f>C13*12</x:f>
        <x:v>3000</x:v>
      </x:c>
    </x:row>
    <x:row r="14">
      <x:c r="A14" s="96" t="str">
        <x:v>Transportation</x:v>
      </x:c>
      <x:c r="B14" s="96" t="str">
        <x:v>Public transit / fuel</x:v>
      </x:c>
      <x:c r="C14" s="97" t="n">
        <x:v>160</x:v>
      </x:c>
      <x:c r="D14" s="98" t="str">
        <x:v>Monthly</x:v>
      </x:c>
      <x:c r="E14" s="99" t="n">
        <x:f>C14*12</x:f>
        <x:v>1920</x:v>
      </x:c>
    </x:row>
    <x:row r="15">
      <x:c r="A15" s="96" t="str">
        <x:v>Transportation</x:v>
      </x:c>
      <x:c r="B15" s="96" t="str">
        <x:v>Vehicle costs</x:v>
      </x:c>
      <x:c r="C15" s="97" t="n">
        <x:v>0</x:v>
      </x:c>
      <x:c r="D15" s="98" t="str">
        <x:v>Monthly</x:v>
      </x:c>
      <x:c r="E15" s="99" t="n">
        <x:f>C15*12</x:f>
        <x:v>0</x:v>
      </x:c>
    </x:row>
    <x:row r="16">
      <x:c r="A16" s="96" t="str">
        <x:v>Healthcare</x:v>
      </x:c>
      <x:c r="B16" s="96" t="str">
        <x:v>Health insurance</x:v>
      </x:c>
      <x:c r="C16" s="97" t="n">
        <x:v>350</x:v>
      </x:c>
      <x:c r="D16" s="98" t="str">
        <x:v>Monthly</x:v>
      </x:c>
      <x:c r="E16" s="99" t="n">
        <x:f>C16*12</x:f>
        <x:v>4200</x:v>
      </x:c>
    </x:row>
    <x:row r="17">
      <x:c r="A17" s="96" t="str">
        <x:v>Healthcare</x:v>
      </x:c>
      <x:c r="B17" s="96" t="str">
        <x:v>Out-of-pocket medical</x:v>
      </x:c>
      <x:c r="C17" s="97" t="n">
        <x:v>100</x:v>
      </x:c>
      <x:c r="D17" s="98" t="str">
        <x:v>Monthly</x:v>
      </x:c>
      <x:c r="E17" s="99" t="n">
        <x:f>C17*12</x:f>
        <x:v>1200</x:v>
      </x:c>
    </x:row>
    <x:row r="18">
      <x:c r="A18" s="96" t="str">
        <x:v>Lifestyle</x:v>
      </x:c>
      <x:c r="B18" s="96" t="str">
        <x:v>Personal and household</x:v>
      </x:c>
      <x:c r="C18" s="97" t="n">
        <x:v>200</x:v>
      </x:c>
      <x:c r="D18" s="98" t="str">
        <x:v>Monthly</x:v>
      </x:c>
      <x:c r="E18" s="99" t="n">
        <x:f>C18*12</x:f>
        <x:v>2400</x:v>
      </x:c>
    </x:row>
    <x:row r="19">
      <x:c r="A19" s="96" t="str">
        <x:v>Lifestyle</x:v>
      </x:c>
      <x:c r="B19" s="96" t="str">
        <x:v>Childcare / education</x:v>
      </x:c>
      <x:c r="C19" s="97" t="n">
        <x:v>0</x:v>
      </x:c>
      <x:c r="D19" s="98" t="str">
        <x:v>Monthly</x:v>
      </x:c>
      <x:c r="E19" s="99" t="n">
        <x:f>C19*12</x:f>
        <x:v>0</x:v>
      </x:c>
    </x:row>
    <x:row r="20">
      <x:c r="A20" s="96" t="str">
        <x:v>Lifestyle</x:v>
      </x:c>
      <x:c r="B20" s="96" t="str">
        <x:v>Other monthly costs</x:v>
      </x:c>
      <x:c r="C20" s="97" t="n">
        <x:v>150</x:v>
      </x:c>
      <x:c r="D20" s="98" t="str">
        <x:v>Monthly</x:v>
      </x:c>
      <x:c r="E20" s="99" t="n">
        <x:f>C20*12</x:f>
        <x:v>1800</x:v>
      </x:c>
    </x:row>
    <x:row r="21">
      <x:c r="A21" s="47"/>
      <x:c r="B21" s="47"/>
      <x:c r="C21" s="47"/>
      <x:c r="D21" s="47"/>
      <x:c r="E21" s="47"/>
    </x:row>
    <x:row r="22" ht="28" customHeight="1">
      <x:c r="A22" s="100" t="str">
        <x:v>TOTAL MONTHLY LIVING COSTS</x:v>
      </x:c>
      <x:c r="B22" s="101"/>
      <x:c r="C22" s="101"/>
      <x:c r="D22" s="101"/>
      <x:c r="E22" s="102" t="n">
        <x:f>SUM(C9:C20)</x:f>
        <x:v>3480</x:v>
      </x:c>
    </x:row>
    <x:row r="23">
      <x:c r="A23" s="47"/>
      <x:c r="B23" s="47"/>
      <x:c r="C23" s="47"/>
      <x:c r="D23" s="47"/>
      <x:c r="E23" s="47"/>
    </x:row>
    <x:row r="24" ht="25" customHeight="1">
      <x:c r="A24" s="103" t="str">
        <x:v>ANNUAL LIVING COSTS</x:v>
      </x:c>
      <x:c r="B24" s="103"/>
      <x:c r="C24" s="103"/>
      <x:c r="D24" s="103"/>
      <x:c r="E24" s="103" t="n">
        <x:f>SUM(E9:E20)</x:f>
        <x:v>41760</x:v>
      </x:c>
    </x:row>
    <x:row r="25">
      <x:c r="A25" s="104" t="str">
        <x:v>MONTHLY LIVING COSTS (LINKED TO DASHBOARD)</x:v>
      </x:c>
      <x:c r="B25" s="104"/>
      <x:c r="C25" s="104"/>
      <x:c r="D25" s="104"/>
      <x:c r="E25" s="104" t="n">
        <x:f>E22</x:f>
        <x:v>3480</x:v>
      </x:c>
    </x:row>
    <x:row r="26">
      <x:c r="A26" s="47"/>
      <x:c r="B26" s="47"/>
      <x:c r="C26" s="47"/>
      <x:c r="D26" s="47"/>
      <x:c r="E26" s="47"/>
    </x:row>
    <x:row r="27">
      <x:c r="A27" s="47"/>
      <x:c r="B27" s="47"/>
      <x:c r="C27" s="47"/>
      <x:c r="D27" s="47"/>
      <x:c r="E27" s="47"/>
    </x:row>
    <x:row r="28" ht="28" customHeight="1">
      <x:c r="A28" s="105" t="str">
        <x:v>CATEGORY</x:v>
      </x:c>
      <x:c r="B28" s="105" t="str">
        <x:v>ONE-TIME EXPENSE</x:v>
      </x:c>
      <x:c r="C28" s="105" t="str">
        <x:v>YOUR ESTIMATE</x:v>
      </x:c>
      <x:c r="D28" s="105" t="str">
        <x:v>TIMING / NOTES</x:v>
      </x:c>
      <x:c r="E28" s="105" t="str">
        <x:v>TOTAL</x:v>
      </x:c>
    </x:row>
    <x:row r="29">
      <x:c r="A29" s="96" t="str">
        <x:v>Immigration</x:v>
      </x:c>
      <x:c r="B29" s="96" t="str">
        <x:v>Visa and application fees</x:v>
      </x:c>
      <x:c r="C29" s="106" t="n">
        <x:v>1200</x:v>
      </x:c>
      <x:c r="D29" s="107" t="str">
        <x:v>Before departure</x:v>
      </x:c>
      <x:c r="E29" s="108" t="n">
        <x:f>C29</x:f>
        <x:v>1200</x:v>
      </x:c>
    </x:row>
    <x:row r="30">
      <x:c r="A30" s="96" t="str">
        <x:v>Immigration</x:v>
      </x:c>
      <x:c r="B30" s="96" t="str">
        <x:v>Documents, apostilles and translations</x:v>
      </x:c>
      <x:c r="C30" s="106" t="n">
        <x:v>600</x:v>
      </x:c>
      <x:c r="D30" s="107" t="str">
        <x:v>Before departure</x:v>
      </x:c>
      <x:c r="E30" s="108" t="n">
        <x:f>C30</x:f>
        <x:v>600</x:v>
      </x:c>
    </x:row>
    <x:row r="31">
      <x:c r="A31" s="96" t="str">
        <x:v>Travel</x:v>
      </x:c>
      <x:c r="B31" s="96" t="str">
        <x:v>Flights</x:v>
      </x:c>
      <x:c r="C31" s="106" t="n">
        <x:v>1800</x:v>
      </x:c>
      <x:c r="D31" s="107" t="str">
        <x:v>Departure</x:v>
      </x:c>
      <x:c r="E31" s="108" t="n">
        <x:f>C31</x:f>
        <x:v>1800</x:v>
      </x:c>
    </x:row>
    <x:row r="32">
      <x:c r="A32" s="96" t="str">
        <x:v>Travel</x:v>
      </x:c>
      <x:c r="B32" s="96" t="str">
        <x:v>Temporary lodging</x:v>
      </x:c>
      <x:c r="C32" s="106" t="n">
        <x:v>2400</x:v>
      </x:c>
      <x:c r="D32" s="107" t="str">
        <x:v>Arrival</x:v>
      </x:c>
      <x:c r="E32" s="108" t="n">
        <x:f>C32</x:f>
        <x:v>2400</x:v>
      </x:c>
    </x:row>
    <x:row r="33">
      <x:c r="A33" s="96" t="str">
        <x:v>Moving</x:v>
      </x:c>
      <x:c r="B33" s="96" t="str">
        <x:v>Shipping and baggage</x:v>
      </x:c>
      <x:c r="C33" s="106" t="n">
        <x:v>1800</x:v>
      </x:c>
      <x:c r="D33" s="107" t="str">
        <x:v>Before departure</x:v>
      </x:c>
      <x:c r="E33" s="108" t="n">
        <x:f>C33</x:f>
        <x:v>1800</x:v>
      </x:c>
    </x:row>
    <x:row r="34">
      <x:c r="A34" s="96" t="str">
        <x:v>Moving</x:v>
      </x:c>
      <x:c r="B34" s="96" t="str">
        <x:v>Storage</x:v>
      </x:c>
      <x:c r="C34" s="106" t="n">
        <x:v>600</x:v>
      </x:c>
      <x:c r="D34" s="107" t="str">
        <x:v>Initial period</x:v>
      </x:c>
      <x:c r="E34" s="108" t="n">
        <x:f>C34</x:f>
        <x:v>600</x:v>
      </x:c>
    </x:row>
    <x:row r="35">
      <x:c r="A35" s="96" t="str">
        <x:v>Housing</x:v>
      </x:c>
      <x:c r="B35" s="96" t="str">
        <x:v>Security deposit and setup</x:v>
      </x:c>
      <x:c r="C35" s="106" t="n">
        <x:v>3200</x:v>
      </x:c>
      <x:c r="D35" s="107" t="str">
        <x:v>Arrival</x:v>
      </x:c>
      <x:c r="E35" s="108" t="n">
        <x:f>C35</x:f>
        <x:v>3200</x:v>
      </x:c>
    </x:row>
    <x:row r="36">
      <x:c r="A36" s="96" t="str">
        <x:v>Professional</x:v>
      </x:c>
      <x:c r="B36" s="96" t="str">
        <x:v>Legal, tax and relocation advice</x:v>
      </x:c>
      <x:c r="C36" s="106" t="n">
        <x:v>1000</x:v>
      </x:c>
      <x:c r="D36" s="107" t="str">
        <x:v>As needed</x:v>
      </x:c>
      <x:c r="E36" s="108" t="n">
        <x:f>C36</x:f>
        <x:v>1000</x:v>
      </x:c>
    </x:row>
    <x:row r="37">
      <x:c r="A37" s="96" t="str">
        <x:v>Other</x:v>
      </x:c>
      <x:c r="B37" s="96" t="str">
        <x:v>Pet relocation / special needs</x:v>
      </x:c>
      <x:c r="C37" s="106" t="n">
        <x:v>0</x:v>
      </x:c>
      <x:c r="D37" s="107" t="str">
        <x:v>As needed</x:v>
      </x:c>
      <x:c r="E37" s="108" t="n">
        <x:f>C37</x:f>
        <x:v>0</x:v>
      </x:c>
    </x:row>
    <x:row r="38">
      <x:c r="A38" s="96" t="str">
        <x:v>Other</x:v>
      </x:c>
      <x:c r="B38" s="96" t="str">
        <x:v>Other one-time expenses</x:v>
      </x:c>
      <x:c r="C38" s="106" t="n">
        <x:v>500</x:v>
      </x:c>
      <x:c r="D38" s="107" t="str">
        <x:v>As needed</x:v>
      </x:c>
      <x:c r="E38" s="108" t="n">
        <x:f>C38</x:f>
        <x:v>500</x:v>
      </x:c>
    </x:row>
    <x:row r="39" ht="28" customHeight="1">
      <x:c r="A39" s="100" t="str">
        <x:v>TOTAL ONE-TIME MOVE COSTS</x:v>
      </x:c>
      <x:c r="B39" s="101"/>
      <x:c r="C39" s="101"/>
      <x:c r="D39" s="101"/>
      <x:c r="E39" s="102" t="n">
        <x:f>SUM(E29:E38)</x:f>
        <x:v>13100</x:v>
      </x:c>
    </x:row>
    <x:row r="40">
      <x:c r="A40" s="47"/>
      <x:c r="B40" s="47"/>
      <x:c r="C40" s="47"/>
      <x:c r="D40" s="47"/>
      <x:c r="E40" s="47"/>
    </x:row>
    <x:row r="41">
      <x:c r="A41" s="47"/>
      <x:c r="B41" s="47"/>
      <x:c r="C41" s="47"/>
      <x:c r="D41" s="47"/>
      <x:c r="E41" s="47"/>
    </x:row>
    <x:row r="42" ht="25" customHeight="1">
      <x:c r="A42" s="103" t="str">
        <x:v>EMERGENCY RESERVE</x:v>
      </x:c>
      <x:c r="B42" s="103"/>
      <x:c r="C42" s="103"/>
      <x:c r="D42" s="103"/>
      <x:c r="E42" s="103" t="n">
        <x:f>E22*'Dashboard'!$B$13</x:f>
        <x:v>20880</x:v>
      </x:c>
    </x:row>
    <x:row r="43" ht="25" customHeight="1">
      <x:c r="A43" s="103" t="str">
        <x:v>CONTINGENCY ALLOWANCE</x:v>
      </x:c>
      <x:c r="B43" s="103"/>
      <x:c r="C43" s="103"/>
      <x:c r="D43" s="103"/>
      <x:c r="E43" s="103" t="n">
        <x:f>(E39+E42)*'Dashboard'!$B$14</x:f>
        <x:v>3398</x:v>
      </x:c>
    </x:row>
    <x:row r="44" ht="32" customHeight="1">
      <x:c r="A44" s="109" t="str">
        <x:v>RECOMMENDED PRE-MOVE SAVINGS</x:v>
      </x:c>
      <x:c r="B44" s="110"/>
      <x:c r="C44" s="110"/>
      <x:c r="D44" s="110"/>
      <x:c r="E44" s="111" t="n">
        <x:f>E39+E42+E43</x:f>
        <x:v>37378</x:v>
      </x:c>
    </x:row>
  </x:sheetData>
  <x:mergeCells>
    <x:mergeCell ref="A5:H5"/>
    <x:mergeCell ref="A6:H6"/>
    <x:mergeCell ref="A22:D22"/>
    <x:mergeCell ref="A24:D24"/>
    <x:mergeCell ref="A25:D25"/>
    <x:mergeCell ref="A39:D39"/>
    <x:mergeCell ref="A42:D42"/>
    <x:mergeCell ref="A43:D43"/>
    <x:mergeCell ref="A44:D44"/>
  </x:mergeCells>
  <x:dataValidations count="2">
    <x:dataValidation type="decimal" operator="greaterThanOrEqual" sqref="C9:C20">
      <x:formula1>0</x:formula1>
    </x:dataValidation>
    <x:dataValidation type="decimal" operator="greaterThanOrEqual" sqref="C29:C38">
      <x:formula1>0</x:formula1>
    </x:dataValidation>
  </x:dataValidations>
  <x:pageMargins left="0.7" right="0.7" top="0.75" bottom="0.75" header="0.3" footer="0.3"/>
  <x:drawing xmlns:r="http://schemas.openxmlformats.org/officeDocument/2006/relationships" r:id="R569a7dcfe1b2412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</x:cols>
  <x:sheetData>
    <x:row r="1">
      <x:c r="A1" s="44"/>
      <x:c r="B1" s="44"/>
      <x:c r="C1" s="44"/>
      <x:c r="D1" s="44"/>
      <x:c r="E1" s="44"/>
      <x:c r="F1" s="1"/>
      <x:c r="G1" s="1"/>
      <x:c r="H1" s="1"/>
    </x:row>
    <x:row r="2">
      <x:c r="A2" s="44"/>
      <x:c r="B2" s="44"/>
      <x:c r="C2" s="44"/>
      <x:c r="D2" s="44"/>
      <x:c r="E2" s="44"/>
      <x:c r="F2" s="1"/>
      <x:c r="G2" s="1"/>
      <x:c r="H2" s="1"/>
    </x:row>
    <x:row r="3">
      <x:c r="A3" s="44"/>
      <x:c r="B3" s="44"/>
      <x:c r="C3" s="44"/>
      <x:c r="D3" s="44"/>
      <x:c r="E3" s="44"/>
      <x:c r="F3" s="1"/>
      <x:c r="G3" s="1"/>
      <x:c r="H3" s="1"/>
    </x:row>
    <x:row r="4">
      <x:c r="A4" s="44"/>
      <x:c r="B4" s="44"/>
      <x:c r="C4" s="44"/>
      <x:c r="D4" s="44"/>
      <x:c r="E4" s="44"/>
      <x:c r="F4" s="1"/>
      <x:c r="G4" s="1"/>
      <x:c r="H4" s="1"/>
    </x:row>
    <x:row r="5" ht="32" customHeight="1">
      <x:c r="A5" s="45" t="str">
        <x:v>PERSONAL RELOCATION BUDGET CALCULATOR</x:v>
      </x:c>
      <x:c r="B5" s="45"/>
      <x:c r="C5" s="45"/>
      <x:c r="D5" s="45"/>
      <x:c r="E5" s="45"/>
      <x:c r="F5" s="5"/>
      <x:c r="G5" s="5"/>
      <x:c r="H5" s="5"/>
    </x:row>
    <x:row r="6" ht="24" customHeight="1">
      <x:c r="A6" s="46" t="str">
        <x:v>Compare your savings target when the U.S. dollar strengthens or weakens.</x:v>
      </x:c>
      <x:c r="B6" s="46"/>
      <x:c r="C6" s="46"/>
      <x:c r="D6" s="46"/>
      <x:c r="E6" s="46"/>
      <x:c r="F6" s="9"/>
      <x:c r="G6" s="9"/>
      <x:c r="H6" s="9"/>
    </x:row>
    <x:row r="7">
      <x:c r="A7" s="47"/>
      <x:c r="B7" s="47"/>
      <x:c r="C7" s="47"/>
      <x:c r="D7" s="47"/>
      <x:c r="E7" s="47"/>
    </x:row>
    <x:row r="8" ht="30" customHeight="1">
      <x:c r="A8" s="132" t="str">
        <x:v>SCENARIO</x:v>
      </x:c>
      <x:c r="B8" s="132" t="str">
        <x:v>RATE VS. BASE</x:v>
      </x:c>
      <x:c r="C8" s="132" t="str">
        <x:v>LOCAL PER USD</x:v>
      </x:c>
      <x:c r="D8" s="132" t="str">
        <x:v>SAVINGS IN USD</x:v>
      </x:c>
      <x:c r="E8" s="132" t="str">
        <x:v>SAVINGS IN LOCAL CURRENCY</x:v>
      </x:c>
    </x:row>
    <x:row r="9">
      <x:c r="A9" s="50" t="str">
        <x:v>USD strengthens 10%</x:v>
      </x:c>
      <x:c r="B9" s="133" t="n">
        <x:v>1.1</x:v>
      </x:c>
      <x:c r="C9" s="134" t="n">
        <x:f>'Dashboard'!$B$11*B9</x:f>
        <x:v>1.0120000000000002</x:v>
      </x:c>
      <x:c r="D9" s="103" t="n">
        <x:f>'Budget Planner'!$E$44</x:f>
        <x:v>37378</x:v>
      </x:c>
      <x:c r="E9" s="103" t="n">
        <x:f>C9*D9</x:f>
        <x:v>37826.53600000001</x:v>
      </x:c>
    </x:row>
    <x:row r="10">
      <x:c r="A10" s="50" t="str">
        <x:v>USD strengthens 5%</x:v>
      </x:c>
      <x:c r="B10" s="133" t="n">
        <x:v>1.05</x:v>
      </x:c>
      <x:c r="C10" s="134" t="n">
        <x:f>'Dashboard'!$B$11*B10</x:f>
        <x:v>0.9660000000000001</x:v>
      </x:c>
      <x:c r="D10" s="103" t="n">
        <x:f>'Budget Planner'!$E$44</x:f>
        <x:v>37378</x:v>
      </x:c>
      <x:c r="E10" s="103" t="n">
        <x:f>C10*D10</x:f>
        <x:v>36107.148</x:v>
      </x:c>
    </x:row>
    <x:row r="11">
      <x:c r="A11" s="135" t="str">
        <x:v>Base rate</x:v>
      </x:c>
      <x:c r="B11" s="136" t="n">
        <x:v>1</x:v>
      </x:c>
      <x:c r="C11" s="137" t="n">
        <x:f>'Dashboard'!$B$11*B11</x:f>
        <x:v>0.92</x:v>
      </x:c>
      <x:c r="D11" s="138" t="n">
        <x:f>'Budget Planner'!$E$44</x:f>
        <x:v>37378</x:v>
      </x:c>
      <x:c r="E11" s="139" t="n">
        <x:f>C11*D11</x:f>
        <x:v>34387.76</x:v>
      </x:c>
    </x:row>
    <x:row r="12">
      <x:c r="A12" s="50" t="str">
        <x:v>USD weakens 5%</x:v>
      </x:c>
      <x:c r="B12" s="133" t="n">
        <x:v>0.95</x:v>
      </x:c>
      <x:c r="C12" s="134" t="n">
        <x:f>'Dashboard'!$B$11*B12</x:f>
        <x:v>0.874</x:v>
      </x:c>
      <x:c r="D12" s="103" t="n">
        <x:f>'Budget Planner'!$E$44</x:f>
        <x:v>37378</x:v>
      </x:c>
      <x:c r="E12" s="103" t="n">
        <x:f>C12*D12</x:f>
        <x:v>32668.372</x:v>
      </x:c>
    </x:row>
    <x:row r="13">
      <x:c r="A13" s="50" t="str">
        <x:v>USD weakens 10%</x:v>
      </x:c>
      <x:c r="B13" s="133" t="n">
        <x:v>0.9</x:v>
      </x:c>
      <x:c r="C13" s="134" t="n">
        <x:f>'Dashboard'!$B$11*B13</x:f>
        <x:v>0.8280000000000001</x:v>
      </x:c>
      <x:c r="D13" s="103" t="n">
        <x:f>'Budget Planner'!$E$44</x:f>
        <x:v>37378</x:v>
      </x:c>
      <x:c r="E13" s="103" t="n">
        <x:f>C13*D13</x:f>
        <x:v>30948.984000000004</x:v>
      </x:c>
    </x:row>
    <x:row r="14">
      <x:c r="A14" s="47"/>
      <x:c r="B14" s="47"/>
      <x:c r="C14" s="47"/>
      <x:c r="D14" s="47"/>
      <x:c r="E14" s="47"/>
    </x:row>
    <x:row r="15">
      <x:c r="A15" s="47"/>
      <x:c r="B15" s="47"/>
      <x:c r="C15" s="47"/>
      <x:c r="D15" s="47"/>
      <x:c r="E15" s="47"/>
    </x:row>
    <x:row r="16" ht="24" customHeight="1">
      <x:c r="A16" s="49" t="str">
        <x:v>INTERPRETING THE SCENARIOS</x:v>
      </x:c>
      <x:c r="B16" s="49"/>
      <x:c r="C16" s="49"/>
      <x:c r="D16" s="49"/>
      <x:c r="E16" s="49"/>
    </x:row>
    <x:row r="17" ht="24" customHeight="1">
      <x:c r="A17" s="140" t="str">
        <x:v>A stronger U.S. dollar buys more local currency; a weaker dollar buys less.</x:v>
      </x:c>
      <x:c r="B17" s="140"/>
      <x:c r="C17" s="140"/>
      <x:c r="D17" s="140"/>
      <x:c r="E17" s="140"/>
    </x:row>
    <x:row r="18" ht="24" customHeight="1">
      <x:c r="A18" s="140" t="str">
        <x:v>The USD savings requirement remains constant because your inputs are entered in USD.</x:v>
      </x:c>
      <x:c r="B18" s="140"/>
      <x:c r="C18" s="140"/>
      <x:c r="D18" s="140"/>
      <x:c r="E18" s="140"/>
    </x:row>
    <x:row r="19" ht="24" customHeight="1">
      <x:c r="A19" s="140" t="str">
        <x:v>Use the local-currency column to see purchasing power at each exchange rate.</x:v>
      </x:c>
      <x:c r="B19" s="140"/>
      <x:c r="C19" s="140"/>
      <x:c r="D19" s="140"/>
      <x:c r="E19" s="140"/>
    </x:row>
    <x:row r="20" ht="24" customHeight="1">
      <x:c r="A20" s="140" t="str">
        <x:v>Exchange rates fluctuate. Recheck current rates before transferring money or booking major expenses.</x:v>
      </x:c>
      <x:c r="B20" s="140"/>
      <x:c r="C20" s="140"/>
      <x:c r="D20" s="140"/>
      <x:c r="E20" s="140"/>
    </x:row>
  </x:sheetData>
  <x:mergeCells>
    <x:mergeCell ref="A5:H5"/>
    <x:mergeCell ref="A6:H6"/>
    <x:mergeCell ref="A16:E16"/>
    <x:mergeCell ref="A17:E17"/>
    <x:mergeCell ref="A18:E18"/>
    <x:mergeCell ref="A19:E19"/>
    <x:mergeCell ref="A20:E20"/>
  </x:mergeCells>
  <x:pageMargins left="0.7" right="0.7" top="0.75" bottom="0.75" header="0.3" footer="0.3"/>
  <x:drawing xmlns:r="http://schemas.openxmlformats.org/officeDocument/2006/relationships" r:id="R9087ec5615df4886"/>
</x:worksheet>
</file>